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bcc057cb04fc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Grupos_sinteticos" sheetId="1" ns1:id="R9e18f649d869446a"/>
    <ns0:sheet name="Guia_de_prueba" sheetId="2" ns1:id="Ra2a2295a93334834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1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a23ff9c414c3e" /><Relationship Type="http://schemas.openxmlformats.org/officeDocument/2006/relationships/theme" Target="/xl/theme/theme1.xml" Id="R08957af86e6a41fc" /><Relationship Type="http://schemas.openxmlformats.org/officeDocument/2006/relationships/sharedStrings" Target="/xl/sharedStrings.xml" Id="R1ff46a39f4874971" /><Relationship Type="http://schemas.openxmlformats.org/officeDocument/2006/relationships/worksheet" Target="/xl/worksheets/sheet1.xml" Id="R9e18f649d869446a" /><Relationship Type="http://schemas.openxmlformats.org/officeDocument/2006/relationships/worksheet" Target="/xl/worksheets/sheet2.xml" Id="Ra2a2295a933348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baseColWidth="8" defaultRowHeight="15"/>
  <ns0:cols>
    <ns0:col min="1" max="1" width="14" customWidth="1"/>
    <ns0:col min="2" max="2" width="14" customWidth="1"/>
    <ns0:col min="3" max="3" width="14" customWidth="1"/>
    <ns0:col min="4" max="4" width="14" customWidth="1"/>
    <ns0:col min="5" max="5" width="14" customWidth="1"/>
    <ns0:col min="6" max="6" width="14" customWidth="1"/>
    <ns0:col min="7" max="7" width="21" customWidth="1"/>
    <ns0:col min="8" max="8" width="14" customWidth="1"/>
  </ns0:cols>
  <ns0:sheetData>
    <ns0:row r="1">
      <ns0:c r="A1" s="1" t="inlineStr">
        <ns0:is>
          <ns0:t>grupo_sintetico</ns0:t>
        </ns0:is>
      </ns0:c>
      <ns0:c r="B1" s="1" t="inlineStr">
        <ns0:is>
          <ns0:t xml:space="preserve">asistencia</ns0:t>
        </ns0:is>
      </ns0:c>
      <ns0:c r="C1" s="1" t="inlineStr">
        <ns0:is>
          <ns0:t xml:space="preserve">tarea_1</ns0:t>
        </ns0:is>
      </ns0:c>
      <ns0:c r="D1" s="1" t="inlineStr">
        <ns0:is>
          <ns0:t xml:space="preserve">tarea_2</ns0:t>
        </ns0:is>
      </ns0:c>
      <ns0:c r="E1" s="1" t="inlineStr">
        <ns0:is>
          <ns0:t xml:space="preserve">tarea_3</ns0:t>
        </ns0:is>
      </ns0:c>
      <ns0:c r="F1" s="1" t="inlineStr">
        <ns0:is>
          <ns0:t xml:space="preserve">proyecto</ns0:t>
        </ns0:is>
      </ns0:c>
      <ns0:c r="G1" s="1" t="inlineStr">
        <ns0:is>
          <ns0:t xml:space="preserve">promedio_ponderado</ns0:t>
        </ns0:is>
      </ns0:c>
      <ns0:c r="H1" s="1" t="inlineStr">
        <ns0:is>
          <ns0:t xml:space="preserve">condicion</ns0:t>
        </ns0:is>
      </ns0:c>
    </ns0:row>
    <ns0:row r="2">
      <ns0:c r="A2" t="inlineStr">
        <ns0:is>
          <ns0:t>GRUPO-001</ns0:t>
        </ns0:is>
      </ns0:c>
      <ns0:c r="B2" t="n">
        <ns0:v>0.9</ns0:v>
      </ns0:c>
      <ns0:c r="C2" t="n">
        <ns0:v>8</ns0:v>
      </ns0:c>
      <ns0:c r="D2" t="n">
        <ns0:v>7</ns0:v>
      </ns0:c>
      <ns0:c r="E2" t="n">
        <ns0:v>8</ns0:v>
      </ns0:c>
      <ns0:c r="F2" t="n">
        <ns0:v>9</ns0:v>
      </ns0:c>
      <ns0:c r="G2" t="n">
        <ns0:f>C2*0.15+D2*0.15+E2*0.2+F2*0.5</ns0:f>
        <ns0:v>8.35</ns0:v>
      </ns0:c>
      <ns0:c r="H2" t="str">
        <ns0:f>IF(AND(G2&gt;=7,B2&gt;=0.75),"PROMOCIONA",IF(AND(G2&gt;=4,B2&gt;=0.6),"REGULAR","LIBRE"))</ns0:f>
        <ns0:v>PROMOCIONA</ns0:v>
      </ns0:c>
    </ns0:row>
    <ns0:row r="3">
      <ns0:c r="A3" t="inlineStr">
        <ns0:is>
          <ns0:t>GRUPO-002</ns0:t>
        </ns0:is>
      </ns0:c>
      <ns0:c r="B3" t="n">
        <ns0:v>0.7</ns0:v>
      </ns0:c>
      <ns0:c r="C3" t="n">
        <ns0:v>5</ns0:v>
      </ns0:c>
      <ns0:c r="D3" t="n">
        <ns0:v>5</ns0:v>
      </ns0:c>
      <ns0:c r="E3" t="n">
        <ns0:v>6</ns0:v>
      </ns0:c>
      <ns0:c r="F3" t="n">
        <ns0:v>6</ns0:v>
      </ns0:c>
      <ns0:c r="G3" t="n">
        <ns0:f>C3*0.15+D3*0.15+E3*0.2+F3*0.5</ns0:f>
        <ns0:v>5.7</ns0:v>
      </ns0:c>
      <ns0:c r="H3" t="str">
        <ns0:f>IF(AND(G3&gt;=7,B3&gt;=0.75),"PROMOCIONA",IF(AND(G3&gt;=4,B3&gt;=0.6),"REGULAR","LIBRE"))</ns0:f>
        <ns0:v>REGULAR</ns0:v>
      </ns0:c>
    </ns0:row>
    <ns0:row r="4">
      <ns0:c r="A4" t="inlineStr">
        <ns0:is>
          <ns0:t>GRUPO-003</ns0:t>
        </ns0:is>
      </ns0:c>
      <ns0:c r="B4" t="n">
        <ns0:v>0.8</ns0:v>
      </ns0:c>
      <ns0:c r="C4" t="n">
        <ns0:v>7</ns0:v>
      </ns0:c>
      <ns0:c r="D4" t="n">
        <ns0:v>7</ns0:v>
      </ns0:c>
      <ns0:c r="E4" t="n">
        <ns0:v>7</ns0:v>
      </ns0:c>
      <ns0:c r="F4" t="n">
        <ns0:v>7</ns0:v>
      </ns0:c>
      <ns0:c r="G4">
        <ns0:f>C4*0.15+D4*0.15+E4*0.2+F4*0.5</ns0:f>
        <ns0:v>7</ns0:v>
      </ns0:c>
      <ns0:c r="H4" t="str">
        <ns0:f>IF(AND(G4&gt;=7,B4&gt;=0.75),"PROMOCIONA",IF(AND(G4&gt;=4,B4&gt;=0.6),"REGULAR","LIBRE"))</ns0:f>
        <ns0:v>PROMOCIONA</ns0:v>
      </ns0:c>
    </ns0:row>
    <ns0:row r="5">
      <ns0:c r="A5" t="inlineStr">
        <ns0:is>
          <ns0:t>GRUPO-004</ns0:t>
        </ns0:is>
      </ns0:c>
      <ns0:c r="B5" t="n">
        <ns0:v>0.55</ns0:v>
      </ns0:c>
      <ns0:c r="C5" t="n">
        <ns0:v>3</ns0:v>
      </ns0:c>
      <ns0:c r="D5" t="n">
        <ns0:v>3</ns0:v>
      </ns0:c>
      <ns0:c r="E5" t="n">
        <ns0:v>4</ns0:v>
      </ns0:c>
      <ns0:c r="F5" t="n">
        <ns0:v>4</ns0:v>
      </ns0:c>
      <ns0:c r="G5" t="n">
        <ns0:f>C5*0.15+D5*0.15+E5*0.2+F5*0.5</ns0:f>
        <ns0:v>3.7</ns0:v>
      </ns0:c>
      <ns0:c r="H5" t="str">
        <ns0:f>IF(AND(G5&gt;=7,B5&gt;=0.75),"PROMOCIONA",IF(AND(G5&gt;=4,B5&gt;=0.6),"REGULAR","LIBRE"))</ns0:f>
        <ns0:v>LIBRE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caso-5-v2-sin-senal.xlsx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 Las puntuaciones y asistencia representan promedios de grupos sintéticos; la condición es una etiqueta simulada para probar fórmulas, no una decisión sobre estudiantes. En G4 ambos métodos dan 7; en H3 el patrón da REGULAR.</ns0:t>
        </ns0:is>
      </ns0:c>
    </ns0:row>
  </ns0:sheetData>
</ns0:worksheet>
</file>